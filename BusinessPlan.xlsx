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 LEE\Documents\TQBusinessPlan_AI\"/>
    </mc:Choice>
  </mc:AlternateContent>
  <xr:revisionPtr revIDLastSave="0" documentId="13_ncr:1_{A259E456-FAD2-4852-AE59-DB14FB13F040}" xr6:coauthVersionLast="47" xr6:coauthVersionMax="47" xr10:uidLastSave="{00000000-0000-0000-0000-000000000000}"/>
  <bookViews>
    <workbookView xWindow="-98" yWindow="-98" windowWidth="21795" windowHeight="12975" xr2:uid="{7FB24EEC-24BD-434D-87DD-9AB09F6838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3" i="1" l="1"/>
  <c r="J53" i="1" s="1"/>
  <c r="K53" i="1" s="1"/>
  <c r="L53" i="1" s="1"/>
  <c r="H53" i="1"/>
  <c r="H51" i="1"/>
  <c r="L50" i="1"/>
  <c r="K50" i="1"/>
  <c r="J50" i="1"/>
  <c r="I50" i="1"/>
  <c r="G53" i="1"/>
  <c r="H50" i="1"/>
  <c r="H30" i="1"/>
  <c r="I30" i="1" s="1"/>
  <c r="J30" i="1" s="1"/>
  <c r="K30" i="1" s="1"/>
  <c r="L30" i="1" s="1"/>
  <c r="H29" i="1"/>
  <c r="I29" i="1" s="1"/>
  <c r="J29" i="1" s="1"/>
  <c r="K29" i="1" s="1"/>
  <c r="L29" i="1" s="1"/>
  <c r="H28" i="1"/>
  <c r="H27" i="1"/>
  <c r="I27" i="1" s="1"/>
  <c r="J27" i="1" s="1"/>
  <c r="K27" i="1" s="1"/>
  <c r="L27" i="1" s="1"/>
  <c r="H44" i="1"/>
  <c r="I28" i="1"/>
  <c r="J28" i="1" s="1"/>
  <c r="K28" i="1" s="1"/>
  <c r="L28" i="1" s="1"/>
  <c r="H31" i="1"/>
  <c r="I31" i="1" s="1"/>
  <c r="J31" i="1" s="1"/>
  <c r="K31" i="1" s="1"/>
  <c r="L31" i="1" s="1"/>
  <c r="H26" i="1"/>
  <c r="I26" i="1" s="1"/>
  <c r="J26" i="1" s="1"/>
  <c r="K26" i="1" s="1"/>
  <c r="L26" i="1" s="1"/>
  <c r="H25" i="1"/>
  <c r="I25" i="1" s="1"/>
  <c r="J25" i="1" s="1"/>
  <c r="K25" i="1" s="1"/>
  <c r="L25" i="1" s="1"/>
  <c r="F34" i="1"/>
  <c r="L33" i="1"/>
  <c r="K33" i="1"/>
  <c r="J33" i="1"/>
  <c r="I33" i="1"/>
  <c r="H33" i="1"/>
  <c r="H22" i="1"/>
  <c r="F45" i="1"/>
  <c r="G19" i="1"/>
  <c r="H41" i="1" l="1"/>
  <c r="H32" i="1"/>
  <c r="H42" i="1"/>
  <c r="H34" i="1"/>
  <c r="J22" i="1"/>
  <c r="H43" i="1"/>
  <c r="H40" i="1"/>
  <c r="H39" i="1"/>
  <c r="I22" i="1"/>
  <c r="K22" i="1"/>
  <c r="J32" i="1" l="1"/>
  <c r="J34" i="1" s="1"/>
  <c r="J44" i="1"/>
  <c r="I32" i="1"/>
  <c r="I34" i="1" s="1"/>
  <c r="I44" i="1"/>
  <c r="K32" i="1"/>
  <c r="K44" i="1"/>
  <c r="I42" i="1"/>
  <c r="K42" i="1"/>
  <c r="J42" i="1"/>
  <c r="K34" i="1"/>
  <c r="J43" i="1"/>
  <c r="J40" i="1"/>
  <c r="J39" i="1"/>
  <c r="J41" i="1"/>
  <c r="K43" i="1"/>
  <c r="I43" i="1"/>
  <c r="H45" i="1"/>
  <c r="H48" i="1" s="1"/>
  <c r="K39" i="1"/>
  <c r="K40" i="1"/>
  <c r="K41" i="1"/>
  <c r="I41" i="1"/>
  <c r="I39" i="1"/>
  <c r="I40" i="1"/>
  <c r="L22" i="1"/>
  <c r="L32" i="1" l="1"/>
  <c r="L34" i="1" s="1"/>
  <c r="L44" i="1"/>
  <c r="L42" i="1"/>
  <c r="J45" i="1"/>
  <c r="J48" i="1" s="1"/>
  <c r="K45" i="1"/>
  <c r="K48" i="1" s="1"/>
  <c r="I45" i="1"/>
  <c r="I48" i="1" s="1"/>
  <c r="I51" i="1" s="1"/>
  <c r="L43" i="1"/>
  <c r="L39" i="1"/>
  <c r="L40" i="1"/>
  <c r="L41" i="1"/>
  <c r="J51" i="1" l="1"/>
  <c r="L45" i="1"/>
  <c r="L48" i="1" s="1"/>
  <c r="K51" i="1" l="1"/>
  <c r="L51" i="1" l="1"/>
</calcChain>
</file>

<file path=xl/sharedStrings.xml><?xml version="1.0" encoding="utf-8"?>
<sst xmlns="http://schemas.openxmlformats.org/spreadsheetml/2006/main" count="67" uniqueCount="55">
  <si>
    <t>준비</t>
  </si>
  <si>
    <t>온라인사이트 구축</t>
  </si>
  <si>
    <t>상품 구입비</t>
  </si>
  <si>
    <t>사무실 비품</t>
  </si>
  <si>
    <t>기타</t>
  </si>
  <si>
    <t>물류비</t>
  </si>
  <si>
    <t>관세</t>
  </si>
  <si>
    <t>계</t>
  </si>
  <si>
    <t>기준환율</t>
  </si>
  <si>
    <t>원/엔</t>
  </si>
  <si>
    <t>소계</t>
  </si>
  <si>
    <t>1. 매출</t>
  </si>
  <si>
    <t>2. 비용</t>
  </si>
  <si>
    <t>1년차</t>
  </si>
  <si>
    <t>2년차</t>
  </si>
  <si>
    <t>3년차</t>
  </si>
  <si>
    <t>4년차</t>
  </si>
  <si>
    <t>5년차</t>
  </si>
  <si>
    <t>광고비</t>
  </si>
  <si>
    <t>(이익 누계)</t>
  </si>
  <si>
    <t>4. 보유 현금</t>
  </si>
  <si>
    <t>PG 수수료</t>
  </si>
  <si>
    <t>단위: 원</t>
  </si>
  <si>
    <t>매출 대비</t>
  </si>
  <si>
    <t>회사 설립비용</t>
  </si>
  <si>
    <t>티쿤 계약금/보증금</t>
  </si>
  <si>
    <t>[계획에 맞게 수정하세요]</t>
  </si>
  <si>
    <t>초기 비용</t>
  </si>
  <si>
    <t>인건비(1)*</t>
  </si>
  <si>
    <t>인건비(2)*</t>
  </si>
  <si>
    <t>인건비(3)*</t>
  </si>
  <si>
    <t>인건비(4)*</t>
  </si>
  <si>
    <t>** 고정비 연간 인상율 : 3%</t>
  </si>
  <si>
    <t>해외직판 사업계획서</t>
  </si>
  <si>
    <t>월급</t>
  </si>
  <si>
    <t>(엔/월)</t>
  </si>
  <si>
    <t>월 기준</t>
  </si>
  <si>
    <t>사무실 유지비</t>
  </si>
  <si>
    <t>기타 (국내 배송비 등)</t>
  </si>
  <si>
    <t>[용도: 사용자의 이해를 돕기 위한 것으로 티쿤은 계산방식 및 결과에 책임이 없습니다.]</t>
  </si>
  <si>
    <t>(1) 고정비</t>
  </si>
  <si>
    <t>(2) 변동비</t>
  </si>
  <si>
    <t>(3) 계, (1) +(2)</t>
  </si>
  <si>
    <t>사무실 임대료</t>
  </si>
  <si>
    <t>접대비/복리후생비</t>
  </si>
  <si>
    <r>
      <rPr>
        <b/>
        <sz val="11"/>
        <color theme="1"/>
        <rFont val="Abadi"/>
        <family val="2"/>
        <charset val="1"/>
      </rPr>
      <t xml:space="preserve">• </t>
    </r>
    <r>
      <rPr>
        <b/>
        <sz val="11"/>
        <color theme="1"/>
        <rFont val="Aptos Narrow"/>
        <family val="2"/>
        <scheme val="minor"/>
      </rPr>
      <t>투자금</t>
    </r>
  </si>
  <si>
    <t>3. 손익, 1-2</t>
  </si>
  <si>
    <t>회사명:</t>
  </si>
  <si>
    <t>판매품목:</t>
  </si>
  <si>
    <t>(월 매출, 소비세/일내배송비 제외)</t>
  </si>
  <si>
    <t>티쿤 수수료</t>
  </si>
  <si>
    <t>* 인건비 = 급여+상여금(200%)+퇴직적립금(100%)+국민연금(4.75%)+건강보험(3.595%)+장기요양보험(건강보험의 13.14%)+고용보험 (1.15%)</t>
  </si>
  <si>
    <t>대표이사 명:</t>
  </si>
  <si>
    <t>기타 비용</t>
  </si>
  <si>
    <t>사무실 임대 보증금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</si>
</sst>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\(#,##0\);\(#,##0\)"/>
    <numFmt numFmtId="166" formatCode="#,##0_ ;\-#,##0\ "/>
    <numFmt numFmtId="167" formatCode="#,##0_ ;[Red]\-#,##0\ "/>
    <numFmt numFmtId="168" formatCode="\(#,##0\);[Red]\(\-#,##0\)"/>
  </numFmts>
  <fonts count="12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b/>
      <sz val="11"/>
      <color theme="1"/>
      <name val="Aptos Narrow"/>
      <family val="2"/>
      <scheme val="minor"/>
    </font>
    <font>
      <u/>
      <sz val="16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badi"/>
      <family val="2"/>
      <charset val="1"/>
    </font>
    <font>
      <b/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41" fontId="0" fillId="0" borderId="1" xfId="1" applyFont="1" applyBorder="1"/>
    <xf numFmtId="0" fontId="2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41" fontId="0" fillId="0" borderId="0" xfId="1" applyFont="1" applyBorder="1"/>
    <xf numFmtId="41" fontId="4" fillId="0" borderId="0" xfId="1" applyFont="1" applyBorder="1"/>
    <xf numFmtId="41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8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9" xfId="0" applyBorder="1"/>
    <xf numFmtId="0" fontId="2" fillId="0" borderId="0" xfId="0" applyFont="1"/>
    <xf numFmtId="41" fontId="0" fillId="0" borderId="10" xfId="1" applyFont="1" applyBorder="1"/>
    <xf numFmtId="41" fontId="0" fillId="0" borderId="11" xfId="1" applyFont="1" applyBorder="1"/>
    <xf numFmtId="0" fontId="0" fillId="0" borderId="10" xfId="0" applyBorder="1"/>
    <xf numFmtId="0" fontId="0" fillId="0" borderId="12" xfId="0" applyBorder="1"/>
    <xf numFmtId="0" fontId="2" fillId="0" borderId="13" xfId="0" applyFont="1" applyBorder="1"/>
    <xf numFmtId="0" fontId="2" fillId="0" borderId="14" xfId="0" applyFont="1" applyBorder="1"/>
    <xf numFmtId="0" fontId="2" fillId="2" borderId="14" xfId="0" applyFont="1" applyFill="1" applyBorder="1"/>
    <xf numFmtId="0" fontId="2" fillId="0" borderId="15" xfId="0" applyFont="1" applyBorder="1"/>
    <xf numFmtId="0" fontId="2" fillId="0" borderId="16" xfId="0" applyFont="1" applyBorder="1"/>
    <xf numFmtId="166" fontId="0" fillId="2" borderId="0" xfId="0" applyNumberFormat="1" applyFill="1"/>
    <xf numFmtId="166" fontId="0" fillId="2" borderId="10" xfId="0" applyNumberFormat="1" applyFill="1" applyBorder="1"/>
    <xf numFmtId="0" fontId="0" fillId="0" borderId="17" xfId="0" applyBorder="1"/>
    <xf numFmtId="41" fontId="5" fillId="0" borderId="0" xfId="1" applyFont="1" applyBorder="1"/>
    <xf numFmtId="0" fontId="8" fillId="0" borderId="14" xfId="0" applyFont="1" applyBorder="1"/>
    <xf numFmtId="9" fontId="9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0" xfId="0" applyFont="1" applyAlignment="1">
      <alignment horizontal="center"/>
    </xf>
    <xf numFmtId="41" fontId="11" fillId="0" borderId="0" xfId="1" applyFont="1" applyBorder="1"/>
    <xf numFmtId="41" fontId="11" fillId="0" borderId="1" xfId="1" applyFont="1" applyBorder="1"/>
    <xf numFmtId="0" fontId="11" fillId="2" borderId="0" xfId="0" applyFont="1" applyFill="1" applyAlignment="1">
      <alignment horizontal="center"/>
    </xf>
    <xf numFmtId="41" fontId="11" fillId="0" borderId="1" xfId="1" applyFont="1" applyBorder="1" applyAlignment="1">
      <alignment horizontal="center"/>
    </xf>
    <xf numFmtId="9" fontId="11" fillId="0" borderId="0" xfId="0" applyNumberFormat="1" applyFont="1" applyAlignment="1">
      <alignment horizontal="center"/>
    </xf>
    <xf numFmtId="164" fontId="11" fillId="0" borderId="10" xfId="1" applyNumberFormat="1" applyFont="1" applyBorder="1"/>
    <xf numFmtId="0" fontId="11" fillId="0" borderId="0" xfId="0" applyFont="1"/>
    <xf numFmtId="0" fontId="6" fillId="0" borderId="0" xfId="0" applyFont="1" applyAlignment="1">
      <alignment horizontal="right"/>
    </xf>
    <xf numFmtId="167" fontId="0" fillId="2" borderId="10" xfId="1" applyNumberFormat="1" applyFont="1" applyFill="1" applyBorder="1"/>
    <xf numFmtId="168" fontId="0" fillId="0" borderId="10" xfId="1" applyNumberFormat="1" applyFont="1" applyBorder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DFD68-C366-4AFA-AA68-57F3CCAF5EEC}">
  <dimension ref="B1:M54"/>
  <sheetViews>
    <sheetView tabSelected="1" topLeftCell="A15" workbookViewId="0">
      <selection activeCell="P49" sqref="P49"/>
    </sheetView>
  </sheetViews>
  <sheetFormatPr defaultRowHeight="14.65" x14ac:dyDescent="0.45"/>
  <cols>
    <col min="1" max="1" width="2" customWidth="1"/>
    <col min="2" max="2" width="1.29296875" customWidth="1"/>
    <col min="3" max="3" width="10.5859375" style="22" customWidth="1"/>
    <col min="4" max="4" width="10.17578125" customWidth="1"/>
    <col min="5" max="5" width="18.41015625" customWidth="1"/>
    <col min="6" max="6" width="11.41015625" style="1" customWidth="1"/>
    <col min="7" max="7" width="13" bestFit="1" customWidth="1"/>
    <col min="8" max="8" width="13.17578125" customWidth="1"/>
    <col min="9" max="9" width="13.46875" customWidth="1"/>
    <col min="10" max="11" width="13.29296875" bestFit="1" customWidth="1"/>
    <col min="12" max="12" width="14.5859375" customWidth="1"/>
    <col min="13" max="13" width="1.17578125" customWidth="1"/>
  </cols>
  <sheetData>
    <row r="1" spans="2:13" ht="15" thickBot="1" x14ac:dyDescent="0.5"/>
    <row r="2" spans="2:13" ht="6.6" customHeight="1" x14ac:dyDescent="0.45">
      <c r="B2" s="6"/>
      <c r="C2" s="27"/>
      <c r="D2" s="7"/>
      <c r="E2" s="8"/>
      <c r="F2" s="8"/>
      <c r="G2" s="7"/>
      <c r="H2" s="7"/>
      <c r="I2" s="7"/>
      <c r="J2" s="7"/>
      <c r="K2" s="7"/>
      <c r="L2" s="7"/>
      <c r="M2" s="9"/>
    </row>
    <row r="3" spans="2:13" ht="21" x14ac:dyDescent="0.65">
      <c r="B3" s="10"/>
      <c r="C3" s="28"/>
      <c r="D3" s="41" t="s">
        <v>33</v>
      </c>
      <c r="E3" s="42"/>
      <c r="F3" s="50" t="s">
        <v>39</v>
      </c>
      <c r="G3" s="50"/>
      <c r="H3" s="50"/>
      <c r="I3" s="50"/>
      <c r="J3" s="50"/>
      <c r="K3" s="50"/>
      <c r="L3" s="1" t="s">
        <v>22</v>
      </c>
      <c r="M3" s="11"/>
    </row>
    <row r="4" spans="2:13" ht="7.5" customHeight="1" x14ac:dyDescent="0.65">
      <c r="B4" s="10"/>
      <c r="C4" s="28"/>
      <c r="D4" s="38"/>
      <c r="E4" s="38"/>
      <c r="F4" s="39"/>
      <c r="G4" s="39"/>
      <c r="H4" s="39"/>
      <c r="I4" s="39"/>
      <c r="J4" s="39"/>
      <c r="K4" s="39"/>
      <c r="L4" s="1"/>
      <c r="M4" s="11"/>
    </row>
    <row r="5" spans="2:13" ht="21" x14ac:dyDescent="0.65">
      <c r="B5" s="10"/>
      <c r="C5" s="28"/>
      <c r="D5" s="22" t="s">
        <v>47</v>
      </c>
      <c r="E5" s="38"/>
      <c r="F5" s="39"/>
      <c r="G5" s="40" t="s">
        <v>52</v>
      </c>
      <c r="H5" s="39"/>
      <c r="I5" s="39"/>
      <c r="J5" s="39"/>
      <c r="K5" s="39"/>
      <c r="L5" s="1"/>
      <c r="M5" s="11"/>
    </row>
    <row r="6" spans="2:13" ht="21" x14ac:dyDescent="0.65">
      <c r="B6" s="10"/>
      <c r="C6" s="28"/>
      <c r="D6" s="22" t="s">
        <v>48</v>
      </c>
      <c r="E6" s="38"/>
      <c r="F6" s="39"/>
      <c r="G6" s="39"/>
      <c r="H6" s="39"/>
      <c r="I6" s="39"/>
      <c r="J6" s="39"/>
      <c r="K6" s="39"/>
      <c r="L6" s="1"/>
      <c r="M6" s="11"/>
    </row>
    <row r="7" spans="2:13" ht="12.6" customHeight="1" x14ac:dyDescent="0.45">
      <c r="B7" s="10"/>
      <c r="C7" s="28"/>
      <c r="M7" s="11"/>
    </row>
    <row r="8" spans="2:13" ht="15" thickBot="1" x14ac:dyDescent="0.5">
      <c r="B8" s="10"/>
      <c r="C8" s="28"/>
      <c r="E8" s="45" t="s">
        <v>26</v>
      </c>
      <c r="F8" s="45"/>
      <c r="G8" s="5" t="s">
        <v>0</v>
      </c>
      <c r="H8" s="5" t="s">
        <v>13</v>
      </c>
      <c r="I8" s="5" t="s">
        <v>14</v>
      </c>
      <c r="J8" s="5" t="s">
        <v>15</v>
      </c>
      <c r="K8" s="5" t="s">
        <v>16</v>
      </c>
      <c r="L8" s="5" t="s">
        <v>17</v>
      </c>
      <c r="M8" s="11"/>
    </row>
    <row r="9" spans="2:13" x14ac:dyDescent="0.45">
      <c r="B9" s="10"/>
      <c r="C9" s="28"/>
      <c r="D9" t="s">
        <v>8</v>
      </c>
      <c r="E9" s="49">
        <v>9.1999999999999993</v>
      </c>
      <c r="F9" s="1" t="s">
        <v>9</v>
      </c>
      <c r="G9" s="12"/>
      <c r="H9" s="12"/>
      <c r="I9" s="12"/>
      <c r="J9" s="12"/>
      <c r="K9" s="12"/>
      <c r="L9" s="12"/>
      <c r="M9" s="11"/>
    </row>
    <row r="10" spans="2:13" x14ac:dyDescent="0.45">
      <c r="B10" s="10"/>
      <c r="C10" s="28"/>
      <c r="G10" s="12"/>
      <c r="H10" s="12"/>
      <c r="I10" s="12"/>
      <c r="J10" s="12"/>
      <c r="K10" s="12"/>
      <c r="L10" s="12"/>
      <c r="M10" s="11"/>
    </row>
    <row r="11" spans="2:13" x14ac:dyDescent="0.45">
      <c r="B11" s="10"/>
      <c r="C11" s="36" t="s">
        <v>45</v>
      </c>
      <c r="G11" s="43">
        <v>200000000</v>
      </c>
      <c r="H11" s="12"/>
      <c r="I11" s="12"/>
      <c r="J11" s="12"/>
      <c r="K11" s="12"/>
      <c r="L11" s="12"/>
      <c r="M11" s="11"/>
    </row>
    <row r="12" spans="2:13" x14ac:dyDescent="0.45">
      <c r="B12" s="10"/>
      <c r="C12" s="28"/>
      <c r="G12" s="13"/>
      <c r="H12" s="12"/>
      <c r="I12" s="12"/>
      <c r="J12" s="12"/>
      <c r="K12" s="12"/>
      <c r="L12" s="12"/>
      <c r="M12" s="11"/>
    </row>
    <row r="13" spans="2:13" x14ac:dyDescent="0.45">
      <c r="B13" s="10"/>
      <c r="C13" s="28"/>
      <c r="D13" t="s">
        <v>27</v>
      </c>
      <c r="E13" t="s">
        <v>25</v>
      </c>
      <c r="G13" s="35">
        <v>2000000</v>
      </c>
      <c r="H13" s="12"/>
      <c r="I13" s="12"/>
      <c r="J13" s="12"/>
      <c r="K13" s="12"/>
      <c r="L13" s="12"/>
      <c r="M13" s="11"/>
    </row>
    <row r="14" spans="2:13" x14ac:dyDescent="0.45">
      <c r="B14" s="10"/>
      <c r="C14" s="28"/>
      <c r="E14" t="s">
        <v>24</v>
      </c>
      <c r="G14" s="43">
        <v>2000000</v>
      </c>
      <c r="H14" s="12"/>
      <c r="I14" s="12"/>
      <c r="J14" s="12"/>
      <c r="K14" s="12"/>
      <c r="L14" s="12"/>
      <c r="M14" s="11"/>
    </row>
    <row r="15" spans="2:13" x14ac:dyDescent="0.45">
      <c r="B15" s="10"/>
      <c r="C15" s="28"/>
      <c r="E15" t="s">
        <v>1</v>
      </c>
      <c r="G15" s="43">
        <v>15000000</v>
      </c>
      <c r="H15" s="12"/>
      <c r="I15" s="12"/>
      <c r="J15" s="12"/>
      <c r="K15" s="12"/>
      <c r="L15" s="12"/>
      <c r="M15" s="11"/>
    </row>
    <row r="16" spans="2:13" x14ac:dyDescent="0.45">
      <c r="B16" s="10"/>
      <c r="C16" s="28"/>
      <c r="E16" t="s">
        <v>54</v>
      </c>
      <c r="G16" s="43">
        <v>10000000</v>
      </c>
      <c r="H16" s="12"/>
      <c r="I16" s="12"/>
      <c r="J16" s="12"/>
      <c r="K16" s="12"/>
      <c r="L16" s="12"/>
      <c r="M16" s="11"/>
    </row>
    <row r="17" spans="2:13" x14ac:dyDescent="0.45">
      <c r="B17" s="10"/>
      <c r="C17" s="28"/>
      <c r="E17" t="s">
        <v>3</v>
      </c>
      <c r="G17" s="43">
        <v>10000000</v>
      </c>
      <c r="H17" s="12"/>
      <c r="I17" s="12"/>
      <c r="J17" s="12"/>
      <c r="K17" s="12"/>
      <c r="L17" s="12"/>
      <c r="M17" s="11"/>
    </row>
    <row r="18" spans="2:13" x14ac:dyDescent="0.45">
      <c r="B18" s="10"/>
      <c r="C18" s="28"/>
      <c r="E18" s="2" t="s">
        <v>4</v>
      </c>
      <c r="F18" s="3"/>
      <c r="G18" s="44">
        <v>1000000</v>
      </c>
      <c r="H18" s="12"/>
      <c r="I18" s="12"/>
      <c r="J18" s="12"/>
      <c r="K18" s="12"/>
      <c r="L18" s="12"/>
      <c r="M18" s="11"/>
    </row>
    <row r="19" spans="2:13" x14ac:dyDescent="0.45">
      <c r="B19" s="10"/>
      <c r="C19" s="28"/>
      <c r="E19" t="s">
        <v>7</v>
      </c>
      <c r="G19" s="12">
        <f>SUM(G13:G18)</f>
        <v>40000000</v>
      </c>
      <c r="H19" s="12"/>
      <c r="I19" s="12"/>
      <c r="J19" s="12"/>
      <c r="K19" s="12"/>
      <c r="L19" s="12"/>
      <c r="M19" s="11"/>
    </row>
    <row r="20" spans="2:13" x14ac:dyDescent="0.45">
      <c r="B20" s="10"/>
      <c r="C20" s="31"/>
      <c r="D20" s="2"/>
      <c r="E20" s="2"/>
      <c r="F20" s="3"/>
      <c r="G20" s="4"/>
      <c r="H20" s="4"/>
      <c r="I20" s="4"/>
      <c r="J20" s="4"/>
      <c r="K20" s="4"/>
      <c r="L20" s="4"/>
      <c r="M20" s="11"/>
    </row>
    <row r="21" spans="2:13" ht="4.25" customHeight="1" x14ac:dyDescent="0.45">
      <c r="B21" s="10"/>
      <c r="C21" s="28"/>
      <c r="G21" s="12"/>
      <c r="H21" s="12"/>
      <c r="I21" s="12"/>
      <c r="J21" s="12"/>
      <c r="K21" s="12"/>
      <c r="L21" s="12"/>
      <c r="M21" s="11"/>
    </row>
    <row r="22" spans="2:13" x14ac:dyDescent="0.45">
      <c r="B22" s="10"/>
      <c r="C22" s="28" t="s">
        <v>11</v>
      </c>
      <c r="G22" s="12"/>
      <c r="H22" s="23">
        <f>H23*$E$9*12</f>
        <v>55200000</v>
      </c>
      <c r="I22" s="23">
        <f t="shared" ref="I22:L22" si="0">I23*$E$9*12</f>
        <v>276000000</v>
      </c>
      <c r="J22" s="23">
        <f t="shared" si="0"/>
        <v>331199999.99999994</v>
      </c>
      <c r="K22" s="23">
        <f t="shared" si="0"/>
        <v>386399999.99999994</v>
      </c>
      <c r="L22" s="23">
        <f t="shared" si="0"/>
        <v>441600000</v>
      </c>
      <c r="M22" s="11"/>
    </row>
    <row r="23" spans="2:13" x14ac:dyDescent="0.45">
      <c r="B23" s="10"/>
      <c r="C23" s="28"/>
      <c r="E23" t="s">
        <v>49</v>
      </c>
      <c r="G23" t="s">
        <v>35</v>
      </c>
      <c r="H23" s="48">
        <v>500000</v>
      </c>
      <c r="I23" s="48">
        <v>2500000</v>
      </c>
      <c r="J23" s="48">
        <v>3000000</v>
      </c>
      <c r="K23" s="48">
        <v>3500000</v>
      </c>
      <c r="L23" s="48">
        <v>4000000</v>
      </c>
      <c r="M23" s="11"/>
    </row>
    <row r="24" spans="2:13" x14ac:dyDescent="0.45">
      <c r="B24" s="10"/>
      <c r="C24" s="28"/>
      <c r="G24" s="12"/>
      <c r="H24" s="23"/>
      <c r="I24" s="23"/>
      <c r="J24" s="23"/>
      <c r="K24" s="23"/>
      <c r="L24" s="23"/>
      <c r="M24" s="11"/>
    </row>
    <row r="25" spans="2:13" x14ac:dyDescent="0.45">
      <c r="B25" s="10"/>
      <c r="C25" s="28" t="s">
        <v>12</v>
      </c>
      <c r="D25" t="s">
        <v>40</v>
      </c>
      <c r="E25" t="s">
        <v>43</v>
      </c>
      <c r="F25" s="43">
        <v>1000000</v>
      </c>
      <c r="G25" s="12" t="s">
        <v>36</v>
      </c>
      <c r="H25" s="23">
        <f>F25*12</f>
        <v>12000000</v>
      </c>
      <c r="I25" s="23">
        <f>H25*1.03</f>
        <v>12360000</v>
      </c>
      <c r="J25" s="23">
        <f t="shared" ref="J25:K25" si="1">I25*1.03</f>
        <v>12730800</v>
      </c>
      <c r="K25" s="23">
        <f t="shared" si="1"/>
        <v>13112724</v>
      </c>
      <c r="L25" s="23">
        <f>K25*1.03</f>
        <v>13506105.720000001</v>
      </c>
      <c r="M25" s="11"/>
    </row>
    <row r="26" spans="2:13" x14ac:dyDescent="0.45">
      <c r="B26" s="10"/>
      <c r="C26" s="28"/>
      <c r="E26" t="s">
        <v>37</v>
      </c>
      <c r="F26" s="43">
        <v>500000</v>
      </c>
      <c r="G26" s="12" t="s">
        <v>36</v>
      </c>
      <c r="H26" s="23">
        <f>F26*12</f>
        <v>6000000</v>
      </c>
      <c r="I26" s="23">
        <f>H26*1.03</f>
        <v>6180000</v>
      </c>
      <c r="J26" s="23">
        <f t="shared" ref="J26" si="2">I26*1.03</f>
        <v>6365400</v>
      </c>
      <c r="K26" s="23">
        <f t="shared" ref="K26" si="3">J26*1.03</f>
        <v>6556362</v>
      </c>
      <c r="L26" s="23">
        <f>K26*1.03</f>
        <v>6753052.8600000003</v>
      </c>
      <c r="M26" s="11"/>
    </row>
    <row r="27" spans="2:13" x14ac:dyDescent="0.45">
      <c r="B27" s="10"/>
      <c r="C27" s="28"/>
      <c r="E27" t="s">
        <v>28</v>
      </c>
      <c r="F27" s="43">
        <v>3000000</v>
      </c>
      <c r="G27" s="12" t="s">
        <v>34</v>
      </c>
      <c r="H27" s="23">
        <f>F27*14+F27*(4.75%+4.067%+1.15%)*14+F27</f>
        <v>49186140</v>
      </c>
      <c r="I27" s="23">
        <f>H27*1.03</f>
        <v>50661724.200000003</v>
      </c>
      <c r="J27" s="23">
        <f t="shared" ref="J27:L27" si="4">I27*1.03</f>
        <v>52181575.926000006</v>
      </c>
      <c r="K27" s="23">
        <f t="shared" si="4"/>
        <v>53747023.20378001</v>
      </c>
      <c r="L27" s="23">
        <f t="shared" si="4"/>
        <v>55359433.899893411</v>
      </c>
      <c r="M27" s="11"/>
    </row>
    <row r="28" spans="2:13" x14ac:dyDescent="0.45">
      <c r="B28" s="10"/>
      <c r="C28" s="28"/>
      <c r="E28" t="s">
        <v>29</v>
      </c>
      <c r="F28" s="43">
        <v>2000000</v>
      </c>
      <c r="G28" s="12" t="s">
        <v>34</v>
      </c>
      <c r="H28" s="23">
        <f t="shared" ref="H28:H30" si="5">F28*14+F28*(4.75%+4.067%+1.15%)*14+F28</f>
        <v>32790760</v>
      </c>
      <c r="I28" s="23">
        <f t="shared" ref="I28:L28" si="6">H28*1.03</f>
        <v>33774482.800000004</v>
      </c>
      <c r="J28" s="23">
        <f t="shared" si="6"/>
        <v>34787717.284000002</v>
      </c>
      <c r="K28" s="23">
        <f t="shared" si="6"/>
        <v>35831348.802519999</v>
      </c>
      <c r="L28" s="23">
        <f t="shared" si="6"/>
        <v>36906289.266595602</v>
      </c>
      <c r="M28" s="11"/>
    </row>
    <row r="29" spans="2:13" x14ac:dyDescent="0.45">
      <c r="B29" s="10"/>
      <c r="C29" s="28"/>
      <c r="E29" t="s">
        <v>30</v>
      </c>
      <c r="F29" s="43">
        <v>0</v>
      </c>
      <c r="G29" s="12" t="s">
        <v>34</v>
      </c>
      <c r="H29" s="23">
        <f t="shared" si="5"/>
        <v>0</v>
      </c>
      <c r="I29" s="23">
        <f t="shared" ref="I29:L29" si="7">H29*1.03</f>
        <v>0</v>
      </c>
      <c r="J29" s="23">
        <f t="shared" si="7"/>
        <v>0</v>
      </c>
      <c r="K29" s="23">
        <f t="shared" si="7"/>
        <v>0</v>
      </c>
      <c r="L29" s="23">
        <f t="shared" si="7"/>
        <v>0</v>
      </c>
      <c r="M29" s="11"/>
    </row>
    <row r="30" spans="2:13" x14ac:dyDescent="0.45">
      <c r="B30" s="10"/>
      <c r="C30" s="28"/>
      <c r="E30" t="s">
        <v>31</v>
      </c>
      <c r="F30" s="43">
        <v>0</v>
      </c>
      <c r="G30" s="12" t="s">
        <v>34</v>
      </c>
      <c r="H30" s="23">
        <f t="shared" si="5"/>
        <v>0</v>
      </c>
      <c r="I30" s="23">
        <f t="shared" ref="I30:L31" si="8">H30*1.03</f>
        <v>0</v>
      </c>
      <c r="J30" s="23">
        <f t="shared" si="8"/>
        <v>0</v>
      </c>
      <c r="K30" s="23">
        <f t="shared" si="8"/>
        <v>0</v>
      </c>
      <c r="L30" s="23">
        <f t="shared" si="8"/>
        <v>0</v>
      </c>
      <c r="M30" s="11"/>
    </row>
    <row r="31" spans="2:13" x14ac:dyDescent="0.45">
      <c r="B31" s="10"/>
      <c r="C31" s="28"/>
      <c r="E31" t="s">
        <v>44</v>
      </c>
      <c r="F31" s="43">
        <v>300000</v>
      </c>
      <c r="G31" s="12" t="s">
        <v>36</v>
      </c>
      <c r="H31" s="23">
        <f>F31*12</f>
        <v>3600000</v>
      </c>
      <c r="I31" s="23">
        <f>H31*1.03</f>
        <v>3708000</v>
      </c>
      <c r="J31" s="23">
        <f t="shared" si="8"/>
        <v>3819240</v>
      </c>
      <c r="K31" s="23">
        <f t="shared" si="8"/>
        <v>3933817.2</v>
      </c>
      <c r="L31" s="23">
        <f>K31*1.03</f>
        <v>4051831.7160000005</v>
      </c>
      <c r="M31" s="11"/>
    </row>
    <row r="32" spans="2:13" x14ac:dyDescent="0.45">
      <c r="B32" s="10"/>
      <c r="C32" s="28"/>
      <c r="E32" t="s">
        <v>18</v>
      </c>
      <c r="F32" s="47">
        <v>0.05</v>
      </c>
      <c r="G32" s="12" t="s">
        <v>23</v>
      </c>
      <c r="H32" s="23">
        <f>H22*$F$32</f>
        <v>2760000</v>
      </c>
      <c r="I32" s="23">
        <f t="shared" ref="I32:L32" si="9">I22*$F$32</f>
        <v>13800000</v>
      </c>
      <c r="J32" s="23">
        <f t="shared" si="9"/>
        <v>16559999.999999998</v>
      </c>
      <c r="K32" s="23">
        <f t="shared" si="9"/>
        <v>19319999.999999996</v>
      </c>
      <c r="L32" s="23">
        <f t="shared" si="9"/>
        <v>22080000</v>
      </c>
      <c r="M32" s="11"/>
    </row>
    <row r="33" spans="2:13" x14ac:dyDescent="0.45">
      <c r="B33" s="10"/>
      <c r="C33" s="28"/>
      <c r="D33" s="34"/>
      <c r="E33" s="2" t="s">
        <v>53</v>
      </c>
      <c r="F33" s="46">
        <v>200000</v>
      </c>
      <c r="G33" s="4" t="s">
        <v>36</v>
      </c>
      <c r="H33" s="24">
        <f>$F$33*12</f>
        <v>2400000</v>
      </c>
      <c r="I33" s="24">
        <f t="shared" ref="I33:L33" si="10">$F$33*12</f>
        <v>2400000</v>
      </c>
      <c r="J33" s="24">
        <f t="shared" si="10"/>
        <v>2400000</v>
      </c>
      <c r="K33" s="24">
        <f t="shared" si="10"/>
        <v>2400000</v>
      </c>
      <c r="L33" s="24">
        <f t="shared" si="10"/>
        <v>2400000</v>
      </c>
      <c r="M33" s="11"/>
    </row>
    <row r="34" spans="2:13" x14ac:dyDescent="0.45">
      <c r="B34" s="10"/>
      <c r="C34" s="28"/>
      <c r="E34" t="s">
        <v>10</v>
      </c>
      <c r="F34" s="14">
        <f>SUM(F25:F33)</f>
        <v>7000000.0499999998</v>
      </c>
      <c r="G34" s="12"/>
      <c r="H34" s="23">
        <f>SUM(H25:H33)</f>
        <v>108736900</v>
      </c>
      <c r="I34" s="23">
        <f>SUM(I25:I33)</f>
        <v>122884207</v>
      </c>
      <c r="J34" s="23">
        <f>SUM(J25:J33)</f>
        <v>128844733.21000001</v>
      </c>
      <c r="K34" s="23">
        <f>SUM(K25:K33)</f>
        <v>134901275.20630002</v>
      </c>
      <c r="L34" s="23">
        <f>SUM(L25:L33)</f>
        <v>141056713.46248901</v>
      </c>
      <c r="M34" s="11"/>
    </row>
    <row r="35" spans="2:13" x14ac:dyDescent="0.45">
      <c r="B35" s="10"/>
      <c r="C35" s="28"/>
      <c r="F35" s="14"/>
      <c r="G35" s="12"/>
      <c r="H35" s="23"/>
      <c r="I35" s="23"/>
      <c r="J35" s="23"/>
      <c r="K35" s="23"/>
      <c r="L35" s="23"/>
      <c r="M35" s="11"/>
    </row>
    <row r="36" spans="2:13" x14ac:dyDescent="0.45">
      <c r="B36" s="10"/>
      <c r="C36" s="28"/>
      <c r="D36" t="s">
        <v>51</v>
      </c>
      <c r="F36" s="14"/>
      <c r="G36" s="12"/>
      <c r="H36" s="23"/>
      <c r="I36" s="23"/>
      <c r="J36" s="23"/>
      <c r="K36" s="23"/>
      <c r="L36" s="23"/>
      <c r="M36" s="11"/>
    </row>
    <row r="37" spans="2:13" x14ac:dyDescent="0.45">
      <c r="B37" s="10"/>
      <c r="C37" s="28"/>
      <c r="D37" t="s">
        <v>32</v>
      </c>
      <c r="G37" s="12"/>
      <c r="H37" s="23"/>
      <c r="I37" s="23"/>
      <c r="J37" s="23"/>
      <c r="K37" s="23"/>
      <c r="L37" s="23"/>
      <c r="M37" s="11"/>
    </row>
    <row r="38" spans="2:13" x14ac:dyDescent="0.45">
      <c r="B38" s="10"/>
      <c r="C38" s="28"/>
      <c r="G38" s="12"/>
      <c r="H38" s="23"/>
      <c r="I38" s="23"/>
      <c r="J38" s="23"/>
      <c r="K38" s="23"/>
      <c r="L38" s="23"/>
      <c r="M38" s="11"/>
    </row>
    <row r="39" spans="2:13" x14ac:dyDescent="0.45">
      <c r="B39" s="10"/>
      <c r="C39" s="28"/>
      <c r="D39" t="s">
        <v>41</v>
      </c>
      <c r="E39" t="s">
        <v>2</v>
      </c>
      <c r="F39" s="47">
        <v>0.4</v>
      </c>
      <c r="G39" s="12" t="s">
        <v>23</v>
      </c>
      <c r="H39" s="23">
        <f>H22*$F$39</f>
        <v>22080000</v>
      </c>
      <c r="I39" s="23">
        <f>I22*$F$39</f>
        <v>110400000</v>
      </c>
      <c r="J39" s="23">
        <f>J22*$F$39</f>
        <v>132479999.99999999</v>
      </c>
      <c r="K39" s="23">
        <f>K22*$F$39</f>
        <v>154559999.99999997</v>
      </c>
      <c r="L39" s="23">
        <f>L22*$F$39</f>
        <v>176640000</v>
      </c>
      <c r="M39" s="11"/>
    </row>
    <row r="40" spans="2:13" x14ac:dyDescent="0.45">
      <c r="B40" s="10"/>
      <c r="C40" s="28"/>
      <c r="E40" t="s">
        <v>5</v>
      </c>
      <c r="F40" s="47">
        <v>0.05</v>
      </c>
      <c r="G40" s="12" t="s">
        <v>23</v>
      </c>
      <c r="H40" s="23">
        <f>H22*$F$40</f>
        <v>2760000</v>
      </c>
      <c r="I40" s="23">
        <f>I22*$F$40</f>
        <v>13800000</v>
      </c>
      <c r="J40" s="23">
        <f>J22*$F$40</f>
        <v>16559999.999999998</v>
      </c>
      <c r="K40" s="23">
        <f>K22*$F$40</f>
        <v>19319999.999999996</v>
      </c>
      <c r="L40" s="23">
        <f>L22*$F$40</f>
        <v>22080000</v>
      </c>
      <c r="M40" s="11"/>
    </row>
    <row r="41" spans="2:13" x14ac:dyDescent="0.45">
      <c r="B41" s="10"/>
      <c r="C41" s="28"/>
      <c r="E41" t="s">
        <v>6</v>
      </c>
      <c r="F41" s="47">
        <v>0.04</v>
      </c>
      <c r="G41" s="12" t="s">
        <v>23</v>
      </c>
      <c r="H41" s="23">
        <f>H22*$F$41</f>
        <v>2208000</v>
      </c>
      <c r="I41" s="23">
        <f>I22*$F$41</f>
        <v>11040000</v>
      </c>
      <c r="J41" s="23">
        <f>J22*$F$41</f>
        <v>13247999.999999998</v>
      </c>
      <c r="K41" s="23">
        <f>K22*$F$41</f>
        <v>15455999.999999998</v>
      </c>
      <c r="L41" s="23">
        <f>L22*$F$41</f>
        <v>17664000</v>
      </c>
      <c r="M41" s="11"/>
    </row>
    <row r="42" spans="2:13" x14ac:dyDescent="0.45">
      <c r="B42" s="10"/>
      <c r="C42" s="28"/>
      <c r="E42" t="s">
        <v>21</v>
      </c>
      <c r="F42" s="47">
        <v>0.03</v>
      </c>
      <c r="G42" s="12" t="s">
        <v>23</v>
      </c>
      <c r="H42" s="23">
        <f>H22*$F$42</f>
        <v>1656000</v>
      </c>
      <c r="I42" s="23">
        <f>I22*$F$42</f>
        <v>8280000</v>
      </c>
      <c r="J42" s="23">
        <f>J22*$F$42</f>
        <v>9935999.9999999981</v>
      </c>
      <c r="K42" s="23">
        <f>K22*$F$42</f>
        <v>11591999.999999998</v>
      </c>
      <c r="L42" s="23">
        <f>L22*$F$42</f>
        <v>13248000</v>
      </c>
      <c r="M42" s="11"/>
    </row>
    <row r="43" spans="2:13" x14ac:dyDescent="0.45">
      <c r="B43" s="10"/>
      <c r="C43" s="28"/>
      <c r="E43" t="s">
        <v>38</v>
      </c>
      <c r="F43" s="47">
        <v>0.01</v>
      </c>
      <c r="G43" s="12" t="s">
        <v>23</v>
      </c>
      <c r="H43" s="23">
        <f>H22*$F$43</f>
        <v>552000</v>
      </c>
      <c r="I43" s="23">
        <f>I22*$F$43</f>
        <v>2760000</v>
      </c>
      <c r="J43" s="23">
        <f>J22*$F$43</f>
        <v>3311999.9999999995</v>
      </c>
      <c r="K43" s="23">
        <f>K22*$F$43</f>
        <v>3863999.9999999995</v>
      </c>
      <c r="L43" s="23">
        <f>L22*$F$43</f>
        <v>4416000</v>
      </c>
      <c r="M43" s="11"/>
    </row>
    <row r="44" spans="2:13" x14ac:dyDescent="0.45">
      <c r="B44" s="10"/>
      <c r="C44" s="28"/>
      <c r="D44" s="34"/>
      <c r="E44" s="2" t="s">
        <v>50</v>
      </c>
      <c r="F44" s="37">
        <v>0.08</v>
      </c>
      <c r="G44" s="4"/>
      <c r="H44" s="24">
        <f>H22*$F$44</f>
        <v>4416000</v>
      </c>
      <c r="I44" s="24">
        <f t="shared" ref="I44:L44" si="11">I22*$F$44</f>
        <v>22080000</v>
      </c>
      <c r="J44" s="24">
        <f t="shared" si="11"/>
        <v>26495999.999999996</v>
      </c>
      <c r="K44" s="24">
        <f t="shared" si="11"/>
        <v>30911999.999999996</v>
      </c>
      <c r="L44" s="24">
        <f t="shared" si="11"/>
        <v>35328000</v>
      </c>
      <c r="M44" s="11"/>
    </row>
    <row r="45" spans="2:13" x14ac:dyDescent="0.45">
      <c r="B45" s="10"/>
      <c r="C45" s="28"/>
      <c r="E45" t="s">
        <v>10</v>
      </c>
      <c r="F45" s="15">
        <f>SUM(F39:F44)</f>
        <v>0.61</v>
      </c>
      <c r="G45" s="12"/>
      <c r="H45" s="23">
        <f>SUM(H39:H44)</f>
        <v>33672000</v>
      </c>
      <c r="I45" s="23">
        <f>SUM(I39:I44)</f>
        <v>168360000</v>
      </c>
      <c r="J45" s="23">
        <f>SUM(J39:J44)</f>
        <v>202031999.99999997</v>
      </c>
      <c r="K45" s="23">
        <f>SUM(K39:K44)</f>
        <v>235703999.99999997</v>
      </c>
      <c r="L45" s="23">
        <f>SUM(L39:L44)</f>
        <v>269376000</v>
      </c>
      <c r="M45" s="11"/>
    </row>
    <row r="46" spans="2:13" x14ac:dyDescent="0.45">
      <c r="B46" s="10"/>
      <c r="C46" s="28"/>
      <c r="G46" s="12"/>
      <c r="H46" s="23"/>
      <c r="I46" s="23"/>
      <c r="J46" s="23"/>
      <c r="K46" s="23"/>
      <c r="L46" s="23"/>
      <c r="M46" s="11"/>
    </row>
    <row r="47" spans="2:13" x14ac:dyDescent="0.45">
      <c r="B47" s="10"/>
      <c r="C47" s="28"/>
      <c r="G47" s="12"/>
      <c r="H47" s="23"/>
      <c r="I47" s="23"/>
      <c r="J47" s="23"/>
      <c r="K47" s="23"/>
      <c r="L47" s="23"/>
      <c r="M47" s="11"/>
    </row>
    <row r="48" spans="2:13" x14ac:dyDescent="0.45">
      <c r="B48" s="10"/>
      <c r="C48" s="28"/>
      <c r="D48" t="s">
        <v>42</v>
      </c>
      <c r="G48" s="12"/>
      <c r="H48" s="23">
        <f>H34+H45</f>
        <v>142408900</v>
      </c>
      <c r="I48" s="23">
        <f>I34+I45</f>
        <v>291244207</v>
      </c>
      <c r="J48" s="23">
        <f>J34+J45</f>
        <v>330876733.20999998</v>
      </c>
      <c r="K48" s="23">
        <f>K34+K45</f>
        <v>370605275.20630002</v>
      </c>
      <c r="L48" s="23">
        <f>L34+L45</f>
        <v>410432713.46248901</v>
      </c>
      <c r="M48" s="11"/>
    </row>
    <row r="49" spans="2:13" x14ac:dyDescent="0.45">
      <c r="B49" s="10"/>
      <c r="C49" s="28"/>
      <c r="H49" s="25"/>
      <c r="I49" s="25"/>
      <c r="J49" s="25"/>
      <c r="K49" s="25"/>
      <c r="L49" s="25"/>
      <c r="M49" s="11"/>
    </row>
    <row r="50" spans="2:13" x14ac:dyDescent="0.45">
      <c r="B50" s="10"/>
      <c r="C50" s="29" t="s">
        <v>46</v>
      </c>
      <c r="D50" s="16"/>
      <c r="E50" s="16"/>
      <c r="F50" s="17"/>
      <c r="G50" s="51"/>
      <c r="H50" s="51">
        <f>H22-H48</f>
        <v>-87208900</v>
      </c>
      <c r="I50" s="51">
        <f t="shared" ref="I50:L50" si="12">I22-I48</f>
        <v>-15244207</v>
      </c>
      <c r="J50" s="51">
        <f t="shared" si="12"/>
        <v>323266.78999996185</v>
      </c>
      <c r="K50" s="51">
        <f t="shared" si="12"/>
        <v>15794724.79369992</v>
      </c>
      <c r="L50" s="51">
        <f t="shared" si="12"/>
        <v>31167286.537510991</v>
      </c>
      <c r="M50" s="11"/>
    </row>
    <row r="51" spans="2:13" x14ac:dyDescent="0.45">
      <c r="B51" s="10"/>
      <c r="C51" s="28"/>
      <c r="E51" t="s">
        <v>19</v>
      </c>
      <c r="G51" s="12"/>
      <c r="H51" s="52">
        <f>H50</f>
        <v>-87208900</v>
      </c>
      <c r="I51" s="52">
        <f>H51+I50</f>
        <v>-102453107</v>
      </c>
      <c r="J51" s="52">
        <f t="shared" ref="J51:L51" si="13">I51+J50</f>
        <v>-102129840.21000004</v>
      </c>
      <c r="K51" s="52">
        <f t="shared" si="13"/>
        <v>-86335115.416300118</v>
      </c>
      <c r="L51" s="52">
        <f t="shared" si="13"/>
        <v>-55167828.878789127</v>
      </c>
      <c r="M51" s="11"/>
    </row>
    <row r="52" spans="2:13" x14ac:dyDescent="0.45">
      <c r="B52" s="10"/>
      <c r="C52" s="28"/>
      <c r="H52" s="25"/>
      <c r="I52" s="25"/>
      <c r="J52" s="25"/>
      <c r="K52" s="25"/>
      <c r="L52" s="25"/>
      <c r="M52" s="11"/>
    </row>
    <row r="53" spans="2:13" x14ac:dyDescent="0.45">
      <c r="B53" s="10"/>
      <c r="C53" s="29" t="s">
        <v>20</v>
      </c>
      <c r="D53" s="16"/>
      <c r="E53" s="16"/>
      <c r="F53" s="17"/>
      <c r="G53" s="32">
        <f>$G$11-G19</f>
        <v>160000000</v>
      </c>
      <c r="H53" s="33">
        <f>G53+H50</f>
        <v>72791100</v>
      </c>
      <c r="I53" s="33">
        <f t="shared" ref="I53:L53" si="14">H53+I50</f>
        <v>57546893</v>
      </c>
      <c r="J53" s="33">
        <f t="shared" si="14"/>
        <v>57870159.789999962</v>
      </c>
      <c r="K53" s="33">
        <f t="shared" si="14"/>
        <v>73664884.583699882</v>
      </c>
      <c r="L53" s="33">
        <f t="shared" si="14"/>
        <v>104832171.12121087</v>
      </c>
      <c r="M53" s="11"/>
    </row>
    <row r="54" spans="2:13" ht="15" thickBot="1" x14ac:dyDescent="0.5">
      <c r="B54" s="18"/>
      <c r="C54" s="30"/>
      <c r="D54" s="19"/>
      <c r="E54" s="19"/>
      <c r="F54" s="20"/>
      <c r="G54" s="19"/>
      <c r="H54" s="26"/>
      <c r="I54" s="26"/>
      <c r="J54" s="26"/>
      <c r="K54" s="26"/>
      <c r="L54" s="26"/>
      <c r="M54" s="21"/>
    </row>
  </sheetData>
  <mergeCells count="3">
    <mergeCell ref="E8:F8"/>
    <mergeCell ref="D3:E3"/>
    <mergeCell ref="F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태수</dc:creator>
  <cp:lastModifiedBy>TS Lee</cp:lastModifiedBy>
  <dcterms:created xsi:type="dcterms:W3CDTF">2026-07-27T00:57:19Z</dcterms:created>
  <dcterms:modified xsi:type="dcterms:W3CDTF">2026-10-06T13:10:23Z</dcterms:modified>
</cp:coreProperties>
</file>